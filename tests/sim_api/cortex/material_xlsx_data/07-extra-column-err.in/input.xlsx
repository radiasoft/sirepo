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etadata and Settings" sheetId="1" r:id="rId4"/>
    <sheet name="Composition" sheetId="2" r:id="rId5"/>
    <sheet name="Properties" sheetId="3" r:id="rId6"/>
  </sheets>
</workbook>
</file>

<file path=xl/sharedStrings.xml><?xml version="1.0" encoding="utf-8"?>
<sst xmlns="http://schemas.openxmlformats.org/spreadsheetml/2006/main" uniqueCount="133">
  <si>
    <t>Material</t>
  </si>
  <si>
    <t>Value</t>
  </si>
  <si>
    <t>Data Type</t>
  </si>
  <si>
    <t>Instructions</t>
  </si>
  <si>
    <t>Name</t>
  </si>
  <si>
    <t>Eurofer 97 Extra Columns 2</t>
  </si>
  <si>
    <t>string between 1 and 100 characters</t>
  </si>
  <si>
    <t>Name of your material</t>
  </si>
  <si>
    <t>Material Type</t>
  </si>
  <si>
    <t>structural</t>
  </si>
  <si>
    <t>options: plasma-facing, structural</t>
  </si>
  <si>
    <t>Overall type of material, to control placement into the neutronics geometries</t>
  </si>
  <si>
    <t>Structure</t>
  </si>
  <si>
    <t>Structure (e.g., BCC, FCC, BCC+FCC)</t>
  </si>
  <si>
    <t>Microstructure Information</t>
  </si>
  <si>
    <t>string between 1 and 500 characters</t>
  </si>
  <si>
    <t>Microstructure information (e.g. grain size)</t>
  </si>
  <si>
    <t>Processing</t>
  </si>
  <si>
    <t>Manufacturing process steps</t>
  </si>
  <si>
    <t>Neutronics Conditions</t>
  </si>
  <si>
    <t>Neutron Source</t>
  </si>
  <si>
    <t>D-T</t>
  </si>
  <si>
    <t>options: D-T (default)</t>
  </si>
  <si>
    <t>Neutron source spectrum</t>
  </si>
  <si>
    <t>Neutron Wall Loading</t>
  </si>
  <si>
    <t>DEMO</t>
  </si>
  <si>
    <t>options: ITER, DEMO (default)</t>
  </si>
  <si>
    <t>Average NWL</t>
  </si>
  <si>
    <t>Availability Factor</t>
  </si>
  <si>
    <t>3x5</t>
  </si>
  <si>
    <t>percentage between 1 and 100</t>
  </si>
  <si>
    <t>Availability factor</t>
  </si>
  <si>
    <t>Select the geometry scenarios you would like to simulate for your material. Each "YES" will spawn a neutronics and TEA calculation.</t>
  </si>
  <si>
    <t>Neutronics Geometries</t>
  </si>
  <si>
    <t>Bare Tile</t>
  </si>
  <si>
    <t>YES</t>
  </si>
  <si>
    <t>options: true, false, yes (default), no</t>
  </si>
  <si>
    <t>Bare, 5 cm thick tile</t>
  </si>
  <si>
    <t>Homogenized WCLL</t>
  </si>
  <si>
    <t>NO</t>
  </si>
  <si>
    <t>options: true, false, yes, no (default)</t>
  </si>
  <si>
    <t>Homogenized representation of Water Cooled Lithium Lead blanket</t>
  </si>
  <si>
    <t>Homogenized HCPB</t>
  </si>
  <si>
    <t>Homogenized representation of Helium Cooled Pebble Bed blanket</t>
  </si>
  <si>
    <t>Homogenized divertor</t>
  </si>
  <si>
    <t>Homogenized representation of divertor</t>
  </si>
  <si>
    <t>LEGEND</t>
  </si>
  <si>
    <t>required data</t>
  </si>
  <si>
    <t>optional data</t>
  </si>
  <si>
    <t>Density</t>
  </si>
  <si>
    <t>DOI or URL</t>
  </si>
  <si>
    <r>
      <rPr>
        <u val="single"/>
        <sz val="12"/>
        <color indexed="17"/>
        <rFont val="Arial"/>
      </rPr>
      <t>https://tinyurl.com/4uchnhx9</t>
    </r>
  </si>
  <si>
    <t>string</t>
  </si>
  <si>
    <t>DOI (without https://doi.org) to cite where this information comes from; if no DOI, enter URL to source</t>
  </si>
  <si>
    <t>Source</t>
  </si>
  <si>
    <t>NOM</t>
  </si>
  <si>
    <t>EXP, PP, NOM, ML, DFT</t>
  </si>
  <si>
    <t>Type of source this information comes from (EXP = experiment, PP = predictive physics model, NOM = nominal (design target) value, ML = maching learning, DFT = Density Functional Theory)</t>
  </si>
  <si>
    <t>Pointer</t>
  </si>
  <si>
    <t>T1</t>
  </si>
  <si>
    <t>P#, T#, F#</t>
  </si>
  <si>
    <t>Location where this information is listed (P6 = page 6, T7 = table 7, F3 = figure 3)</t>
  </si>
  <si>
    <t>[g/cm3], between 1 and 25</t>
  </si>
  <si>
    <t>Density of your material during in-service conditions; a single value of density will be used for the neutronics calculations</t>
  </si>
  <si>
    <t>Comments</t>
  </si>
  <si>
    <t>Density is available as function of temperature; value is given at 500 C</t>
  </si>
  <si>
    <t>Comments or notes</t>
  </si>
  <si>
    <t>Composition</t>
  </si>
  <si>
    <t>10.1016/j.fusengdes.2018.06.027</t>
  </si>
  <si>
    <t>T5.1</t>
  </si>
  <si>
    <t xml:space="preserve">Add or remove rows for elements and isotopes in the material. The components of a material must ALL be given in weight % or ALL be given in atomic percent. Neutronics simulations will use the "target" value if provided. If the "target" value is not provided, the midpoint of the max/min range will be used, unless the "min" value is zero in which case the maximum is used (assuming a conservative approach for impurities). One element or nuclide can be indicated as "balance" in order to fill the remaining material components to 100% weight percent or 100% atomic percent. </t>
  </si>
  <si>
    <t>Weight %</t>
  </si>
  <si>
    <t>Atom %</t>
  </si>
  <si>
    <t>Element or Nuclide</t>
  </si>
  <si>
    <t>Target</t>
  </si>
  <si>
    <t>Min</t>
  </si>
  <si>
    <t>Max</t>
  </si>
  <si>
    <t>C</t>
  </si>
  <si>
    <t>Cr</t>
  </si>
  <si>
    <t>W</t>
  </si>
  <si>
    <t>Mn</t>
  </si>
  <si>
    <t>V</t>
  </si>
  <si>
    <t>Ta</t>
  </si>
  <si>
    <t>N</t>
  </si>
  <si>
    <t>P</t>
  </si>
  <si>
    <t>S</t>
  </si>
  <si>
    <t>B</t>
  </si>
  <si>
    <t>O</t>
  </si>
  <si>
    <t>Fe</t>
  </si>
  <si>
    <t>balance</t>
  </si>
  <si>
    <t>Nb</t>
  </si>
  <si>
    <t>Mo</t>
  </si>
  <si>
    <t>Ni</t>
  </si>
  <si>
    <t>Cu</t>
  </si>
  <si>
    <t>Al</t>
  </si>
  <si>
    <t>Ti</t>
  </si>
  <si>
    <t>Si</t>
  </si>
  <si>
    <t>Co</t>
  </si>
  <si>
    <t>As</t>
  </si>
  <si>
    <t>Sn</t>
  </si>
  <si>
    <t>Sb</t>
  </si>
  <si>
    <t>Zr</t>
  </si>
  <si>
    <t>Property Name</t>
  </si>
  <si>
    <t>density</t>
  </si>
  <si>
    <t>drop-down list</t>
  </si>
  <si>
    <t>Name of this material property</t>
  </si>
  <si>
    <t>Properties</t>
  </si>
  <si>
    <t>Property Unit</t>
  </si>
  <si>
    <t>kg/m3</t>
  </si>
  <si>
    <t>(kg, Pa, m, s)</t>
  </si>
  <si>
    <t>Units used for this property in SI (kg, Pa, m, s)</t>
  </si>
  <si>
    <t>yield strength</t>
  </si>
  <si>
    <t>tensile strength</t>
  </si>
  <si>
    <t>Location in the DOI where this information is listed (P6 = page 6, T7 = table 7, F3 = figure 3, ...)</t>
  </si>
  <si>
    <t>Young's modulus</t>
  </si>
  <si>
    <t>Poisson ratio</t>
  </si>
  <si>
    <t>fracture toughness</t>
  </si>
  <si>
    <t>Uncertainty</t>
  </si>
  <si>
    <t>Temperature [K]</t>
  </si>
  <si>
    <t>Neutron Fluence [1/cm2]</t>
  </si>
  <si>
    <t>Another [m]</t>
  </si>
  <si>
    <t>creep</t>
  </si>
  <si>
    <t>thermal conductivity</t>
  </si>
  <si>
    <t>specific heat</t>
  </si>
  <si>
    <t>swelling</t>
  </si>
  <si>
    <t>hardness</t>
  </si>
  <si>
    <t>DBTT</t>
  </si>
  <si>
    <t>1.8xxxE+06</t>
  </si>
  <si>
    <t>W/m/K</t>
  </si>
  <si>
    <t>https://tinyurl.com/4uchnhx9</t>
  </si>
  <si>
    <t>EXP</t>
  </si>
  <si>
    <t>T20.1</t>
  </si>
  <si>
    <t>7x73.15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</si>
</sst>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000"/>
    <numFmt numFmtId="60" formatCode="0.000"/>
  </numFmts>
  <fonts count="15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ptos Narrow (Body)"/>
    </font>
    <font>
      <b val="1"/>
      <sz val="12"/>
      <color indexed="8"/>
      <name val="Aptos Narrow"/>
    </font>
    <font>
      <sz val="12"/>
      <color indexed="9"/>
      <name val="Aptos Narrow"/>
    </font>
    <font>
      <i val="1"/>
      <sz val="12"/>
      <color indexed="9"/>
      <name val="Aptos Narrow"/>
    </font>
    <font>
      <sz val="12"/>
      <color indexed="8"/>
      <name val="Arial"/>
    </font>
    <font>
      <i val="1"/>
      <sz val="12"/>
      <color indexed="15"/>
      <name val="Aptos Narrow"/>
    </font>
    <font>
      <b val="1"/>
      <sz val="12"/>
      <color indexed="8"/>
      <name val="Arial"/>
    </font>
    <font>
      <u val="single"/>
      <sz val="12"/>
      <color indexed="17"/>
      <name val="Arial"/>
    </font>
    <font>
      <i val="1"/>
      <sz val="14"/>
      <color indexed="9"/>
      <name val="Aptos Narrow"/>
    </font>
    <font>
      <i val="1"/>
      <sz val="12"/>
      <color indexed="8"/>
      <name val="Aptos Narrow"/>
    </font>
    <font>
      <i val="1"/>
      <sz val="12"/>
      <color indexed="8"/>
      <name val="Arial"/>
    </font>
    <font>
      <sz val="12"/>
      <color indexed="17"/>
      <name val="Aptos Narrow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3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3" fillId="3" borderId="5" applyNumberFormat="1" applyFont="1" applyFill="1" applyBorder="1" applyAlignment="1" applyProtection="0">
      <alignment vertical="bottom"/>
    </xf>
    <xf numFmtId="49" fontId="4" fillId="3" borderId="5" applyNumberFormat="1" applyFont="1" applyFill="1" applyBorder="1" applyAlignment="1" applyProtection="0">
      <alignment vertical="bottom"/>
    </xf>
    <xf numFmtId="49" fontId="4" fillId="3" borderId="6" applyNumberFormat="1" applyFont="1" applyFill="1" applyBorder="1" applyAlignment="1" applyProtection="0">
      <alignment vertical="bottom"/>
    </xf>
    <xf numFmtId="49" fontId="4" fillId="3" borderId="7" applyNumberFormat="1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49" fontId="0" fillId="4" borderId="5" applyNumberFormat="1" applyFont="1" applyFill="1" applyBorder="1" applyAlignment="1" applyProtection="0">
      <alignment vertical="bottom"/>
    </xf>
    <xf numFmtId="49" fontId="0" fillId="5" borderId="5" applyNumberFormat="1" applyFont="1" applyFill="1" applyBorder="1" applyAlignment="1" applyProtection="0">
      <alignment horizontal="right" vertical="bottom"/>
    </xf>
    <xf numFmtId="49" fontId="5" fillId="3" borderId="8" applyNumberFormat="1" applyFont="1" applyFill="1" applyBorder="1" applyAlignment="1" applyProtection="0">
      <alignment vertical="bottom"/>
    </xf>
    <xf numFmtId="49" fontId="6" fillId="3" borderId="9" applyNumberFormat="1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0" fontId="0" fillId="6" borderId="5" applyNumberFormat="0" applyFont="1" applyFill="1" applyBorder="1" applyAlignment="1" applyProtection="0">
      <alignment horizontal="right" vertical="bottom"/>
    </xf>
    <xf numFmtId="49" fontId="5" fillId="3" borderId="10" applyNumberFormat="1" applyFont="1" applyFill="1" applyBorder="1" applyAlignment="1" applyProtection="0">
      <alignment vertical="bottom"/>
    </xf>
    <xf numFmtId="49" fontId="6" fillId="3" borderId="11" applyNumberFormat="1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  <xf numFmtId="0" fontId="4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5" fillId="2" borderId="14" applyNumberFormat="0" applyFont="1" applyFill="1" applyBorder="1" applyAlignment="1" applyProtection="0">
      <alignment vertical="bottom"/>
    </xf>
    <xf numFmtId="0" fontId="6" fillId="2" borderId="14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5" fillId="3" borderId="6" applyNumberFormat="0" applyFont="1" applyFill="1" applyBorder="1" applyAlignment="1" applyProtection="0">
      <alignment vertical="bottom"/>
    </xf>
    <xf numFmtId="49" fontId="0" fillId="6" borderId="5" applyNumberFormat="1" applyFont="1" applyFill="1" applyBorder="1" applyAlignment="1" applyProtection="0">
      <alignment horizontal="right" vertical="bottom"/>
    </xf>
    <xf numFmtId="0" fontId="0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5" fillId="3" borderId="7" applyNumberFormat="0" applyFont="1" applyFill="1" applyBorder="1" applyAlignment="1" applyProtection="0">
      <alignment vertical="bottom"/>
    </xf>
    <xf numFmtId="49" fontId="6" fillId="3" borderId="18" applyNumberFormat="1" applyFont="1" applyFill="1" applyBorder="1" applyAlignment="1" applyProtection="0">
      <alignment horizontal="left" vertical="top" wrapText="1"/>
    </xf>
    <xf numFmtId="0" fontId="0" fillId="3" borderId="18" applyNumberFormat="0" applyFont="1" applyFill="1" applyBorder="1" applyAlignment="1" applyProtection="0">
      <alignment vertical="bottom"/>
    </xf>
    <xf numFmtId="0" fontId="5" fillId="3" borderId="9" applyNumberFormat="0" applyFont="1" applyFill="1" applyBorder="1" applyAlignment="1" applyProtection="0">
      <alignment vertical="bottom"/>
    </xf>
    <xf numFmtId="0" fontId="5" fillId="3" borderId="8" applyNumberFormat="0" applyFont="1" applyFill="1" applyBorder="1" applyAlignment="1" applyProtection="0">
      <alignment vertical="bottom"/>
    </xf>
    <xf numFmtId="49" fontId="7" fillId="6" borderId="5" applyNumberFormat="1" applyFont="1" applyFill="1" applyBorder="1" applyAlignment="1" applyProtection="0">
      <alignment horizontal="right" vertical="bottom"/>
    </xf>
    <xf numFmtId="49" fontId="8" fillId="3" borderId="9" applyNumberFormat="1" applyFont="1" applyFill="1" applyBorder="1" applyAlignment="1" applyProtection="0">
      <alignment vertical="bottom"/>
    </xf>
    <xf numFmtId="49" fontId="8" fillId="3" borderId="11" applyNumberFormat="1" applyFont="1" applyFill="1" applyBorder="1" applyAlignment="1" applyProtection="0">
      <alignment vertical="bottom"/>
    </xf>
    <xf numFmtId="49" fontId="4" fillId="3" borderId="19" applyNumberFormat="1" applyFont="1" applyFill="1" applyBorder="1" applyAlignment="1" applyProtection="0">
      <alignment horizontal="center" vertical="bottom"/>
    </xf>
    <xf numFmtId="0" fontId="0" fillId="3" borderId="20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49" fontId="0" fillId="5" borderId="21" applyNumberFormat="1" applyFont="1" applyFill="1" applyBorder="1" applyAlignment="1" applyProtection="0">
      <alignment horizontal="center" vertical="bottom"/>
    </xf>
    <xf numFmtId="0" fontId="0" fillId="3" borderId="22" applyNumberFormat="0" applyFont="1" applyFill="1" applyBorder="1" applyAlignment="1" applyProtection="0">
      <alignment vertical="bottom"/>
    </xf>
    <xf numFmtId="49" fontId="0" fillId="7" borderId="21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9" fillId="3" borderId="5" applyNumberFormat="1" applyFont="1" applyFill="1" applyBorder="1" applyAlignment="1" applyProtection="0">
      <alignment vertical="bottom"/>
    </xf>
    <xf numFmtId="49" fontId="10" fillId="7" borderId="5" applyNumberFormat="1" applyFont="1" applyFill="1" applyBorder="1" applyAlignment="1" applyProtection="0">
      <alignment vertical="bottom"/>
    </xf>
    <xf numFmtId="49" fontId="5" fillId="3" borderId="8" applyNumberFormat="1" applyFont="1" applyFill="1" applyBorder="1" applyAlignment="1" applyProtection="0">
      <alignment horizontal="left" vertical="bottom"/>
    </xf>
    <xf numFmtId="49" fontId="0" fillId="7" borderId="5" applyNumberFormat="1" applyFont="1" applyFill="1" applyBorder="1" applyAlignment="1" applyProtection="0">
      <alignment horizontal="left" vertical="bottom"/>
    </xf>
    <xf numFmtId="0" fontId="0" fillId="5" borderId="5" applyNumberFormat="1" applyFont="1" applyFill="1" applyBorder="1" applyAlignment="1" applyProtection="0">
      <alignment horizontal="left" vertical="bottom"/>
    </xf>
    <xf numFmtId="49" fontId="0" fillId="4" borderId="5" applyNumberFormat="1" applyFont="1" applyFill="1" applyBorder="1" applyAlignment="1" applyProtection="0">
      <alignment vertical="top"/>
    </xf>
    <xf numFmtId="49" fontId="0" fillId="6" borderId="5" applyNumberFormat="1" applyFont="1" applyFill="1" applyBorder="1" applyAlignment="1" applyProtection="0">
      <alignment vertical="top" wrapText="1"/>
    </xf>
    <xf numFmtId="49" fontId="5" fillId="3" borderId="10" applyNumberFormat="1" applyFont="1" applyFill="1" applyBorder="1" applyAlignment="1" applyProtection="0">
      <alignment horizontal="left" vertical="bottom"/>
    </xf>
    <xf numFmtId="0" fontId="0" fillId="2" borderId="12" applyNumberFormat="0" applyFont="1" applyFill="1" applyBorder="1" applyAlignment="1" applyProtection="0">
      <alignment vertical="top"/>
    </xf>
    <xf numFmtId="0" fontId="0" fillId="2" borderId="13" applyNumberFormat="0" applyFont="1" applyFill="1" applyBorder="1" applyAlignment="1" applyProtection="0">
      <alignment vertical="top" wrapText="1"/>
    </xf>
    <xf numFmtId="0" fontId="5" fillId="2" borderId="14" applyNumberFormat="0" applyFont="1" applyFill="1" applyBorder="1" applyAlignment="1" applyProtection="0">
      <alignment horizontal="left" vertical="bottom"/>
    </xf>
    <xf numFmtId="0" fontId="0" fillId="6" borderId="5" applyNumberFormat="0" applyFont="1" applyFill="1" applyBorder="1" applyAlignment="1" applyProtection="0">
      <alignment vertical="top" wrapText="1"/>
    </xf>
    <xf numFmtId="0" fontId="0" fillId="3" borderId="23" applyNumberFormat="0" applyFont="1" applyFill="1" applyBorder="1" applyAlignment="1" applyProtection="0">
      <alignment vertical="bottom"/>
    </xf>
    <xf numFmtId="49" fontId="11" fillId="3" borderId="9" applyNumberFormat="1" applyFont="1" applyFill="1" applyBorder="1" applyAlignment="1" applyProtection="0">
      <alignment horizontal="left" vertical="top" wrapText="1"/>
    </xf>
    <xf numFmtId="0" fontId="0" fillId="3" borderId="24" applyNumberFormat="0" applyFont="1" applyFill="1" applyBorder="1" applyAlignment="1" applyProtection="0">
      <alignment vertical="bottom"/>
    </xf>
    <xf numFmtId="49" fontId="9" fillId="4" borderId="21" applyNumberFormat="1" applyFont="1" applyFill="1" applyBorder="1" applyAlignment="1" applyProtection="0">
      <alignment horizontal="center" vertical="bottom"/>
    </xf>
    <xf numFmtId="0" fontId="0" fillId="3" borderId="25" applyNumberFormat="0" applyFont="1" applyFill="1" applyBorder="1" applyAlignment="1" applyProtection="0">
      <alignment vertical="bottom"/>
    </xf>
    <xf numFmtId="49" fontId="4" fillId="4" borderId="21" applyNumberFormat="1" applyFont="1" applyFill="1" applyBorder="1" applyAlignment="1" applyProtection="0">
      <alignment horizontal="center" vertical="bottom"/>
    </xf>
    <xf numFmtId="49" fontId="9" fillId="4" borderId="5" applyNumberFormat="1" applyFont="1" applyFill="1" applyBorder="1" applyAlignment="1" applyProtection="0">
      <alignment vertical="bottom"/>
    </xf>
    <xf numFmtId="49" fontId="4" fillId="4" borderId="5" applyNumberFormat="1" applyFont="1" applyFill="1" applyBorder="1" applyAlignment="1" applyProtection="0">
      <alignment vertical="bottom"/>
    </xf>
    <xf numFmtId="0" fontId="4" fillId="3" borderId="9" applyNumberFormat="0" applyFont="1" applyFill="1" applyBorder="1" applyAlignment="1" applyProtection="0">
      <alignment vertical="bottom"/>
    </xf>
    <xf numFmtId="49" fontId="0" fillId="5" borderId="5" applyNumberFormat="1" applyFont="1" applyFill="1" applyBorder="1" applyAlignment="1" applyProtection="0">
      <alignment vertical="bottom"/>
    </xf>
    <xf numFmtId="59" fontId="0" fillId="5" borderId="5" applyNumberFormat="1" applyFont="1" applyFill="1" applyBorder="1" applyAlignment="1" applyProtection="0">
      <alignment vertical="bottom"/>
    </xf>
    <xf numFmtId="0" fontId="12" fillId="3" borderId="9" applyNumberFormat="0" applyFont="1" applyFill="1" applyBorder="1" applyAlignment="1" applyProtection="0">
      <alignment vertical="bottom"/>
    </xf>
    <xf numFmtId="0" fontId="13" fillId="3" borderId="9" applyNumberFormat="0" applyFont="1" applyFill="1" applyBorder="1" applyAlignment="1" applyProtection="0">
      <alignment vertical="bottom"/>
    </xf>
    <xf numFmtId="0" fontId="7" fillId="3" borderId="9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0" fontId="0" fillId="2" borderId="26" applyNumberFormat="0" applyFont="1" applyFill="1" applyBorder="1" applyAlignment="1" applyProtection="0">
      <alignment vertical="bottom"/>
    </xf>
    <xf numFmtId="0" fontId="0" fillId="2" borderId="27" applyNumberFormat="0" applyFont="1" applyFill="1" applyBorder="1" applyAlignment="1" applyProtection="0">
      <alignment vertical="bottom"/>
    </xf>
    <xf numFmtId="0" fontId="0" fillId="2" borderId="28" applyNumberFormat="0" applyFont="1" applyFill="1" applyBorder="1" applyAlignment="1" applyProtection="0">
      <alignment vertical="bottom"/>
    </xf>
    <xf numFmtId="0" fontId="0" fillId="2" borderId="29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7" borderId="5" applyNumberFormat="1" applyFont="1" applyFill="1" applyBorder="1" applyAlignment="1" applyProtection="0">
      <alignment vertical="bottom"/>
    </xf>
    <xf numFmtId="49" fontId="5" fillId="3" borderId="6" applyNumberFormat="1" applyFont="1" applyFill="1" applyBorder="1" applyAlignment="1" applyProtection="0">
      <alignment vertical="bottom"/>
    </xf>
    <xf numFmtId="49" fontId="6" fillId="3" borderId="7" applyNumberFormat="1" applyFont="1" applyFill="1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vertical="bottom"/>
    </xf>
    <xf numFmtId="49" fontId="0" fillId="7" borderId="5" applyNumberFormat="1" applyFont="1" applyFill="1" applyBorder="1" applyAlignment="1" applyProtection="0">
      <alignment vertical="bottom"/>
    </xf>
    <xf numFmtId="49" fontId="0" fillId="3" borderId="9" applyNumberFormat="1" applyFont="1" applyFill="1" applyBorder="1" applyAlignment="1" applyProtection="0">
      <alignment vertical="bottom"/>
    </xf>
    <xf numFmtId="0" fontId="0" fillId="7" borderId="5" applyNumberFormat="0" applyFont="1" applyFill="1" applyBorder="1" applyAlignment="1" applyProtection="0">
      <alignment vertical="bottom"/>
    </xf>
    <xf numFmtId="0" fontId="0" fillId="3" borderId="30" applyNumberFormat="0" applyFont="1" applyFill="1" applyBorder="1" applyAlignment="1" applyProtection="0">
      <alignment vertical="bottom"/>
    </xf>
    <xf numFmtId="0" fontId="4" fillId="3" borderId="8" applyNumberFormat="0" applyFont="1" applyFill="1" applyBorder="1" applyAlignment="1" applyProtection="0">
      <alignment vertical="bottom"/>
    </xf>
    <xf numFmtId="60" fontId="0" fillId="7" borderId="5" applyNumberFormat="1" applyFont="1" applyFill="1" applyBorder="1" applyAlignment="1" applyProtection="0">
      <alignment vertical="bottom"/>
    </xf>
    <xf numFmtId="0" fontId="0" fillId="7" borderId="5" applyNumberFormat="1" applyFont="1" applyFill="1" applyBorder="1" applyAlignment="1" applyProtection="0">
      <alignment vertical="bottom"/>
    </xf>
    <xf numFmtId="11" fontId="7" fillId="7" borderId="5" applyNumberFormat="1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49" fontId="14" fillId="7" borderId="5" applyNumberFormat="1" applyFont="1" applyFill="1" applyBorder="1" applyAlignment="1" applyProtection="0">
      <alignment vertical="bottom"/>
    </xf>
    <xf numFmtId="0" fontId="4" fillId="4" borderId="5" applyNumberFormat="0" applyFont="1" applyFill="1" applyBorder="1" applyAlignment="1" applyProtection="0">
      <alignment vertical="bottom"/>
    </xf>
    <xf numFmtId="0" fontId="14" fillId="7" borderId="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7f7f7f"/>
      <rgbColor rgb="ffaaaaaa"/>
      <rgbColor rgb="ffffffff"/>
      <rgbColor rgb="fff9eec9"/>
      <rgbColor rgb="fff1ceee"/>
      <rgbColor rgb="ffdbe9f7"/>
      <rgbColor rgb="ff808080"/>
      <rgbColor rgb="ffdbeaf8"/>
      <rgbColor rgb="ff2828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tinyurl.com/4uchnhx9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tinyurl.com/4uchnhx9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Z26"/>
  <sheetViews>
    <sheetView workbookViewId="0" showGridLines="0" defaultGridColor="1"/>
  </sheetViews>
  <sheetFormatPr defaultColWidth="11.1667" defaultRowHeight="15" customHeight="1" outlineLevelRow="0" outlineLevelCol="0"/>
  <cols>
    <col min="1" max="1" width="23.6719" style="1" customWidth="1"/>
    <col min="2" max="4" width="30.8516" style="1" customWidth="1"/>
    <col min="5" max="26" width="10.6719" style="1" customWidth="1"/>
    <col min="27" max="16384" width="11.1719" style="1" customWidth="1"/>
  </cols>
  <sheetData>
    <row r="1" ht="15.75" customHeight="1">
      <c r="A1" s="2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.75" customHeight="1">
      <c r="A2" t="s" s="6">
        <v>0</v>
      </c>
      <c r="B2" t="s" s="7">
        <v>1</v>
      </c>
      <c r="C2" t="s" s="8">
        <v>2</v>
      </c>
      <c r="D2" t="s" s="9">
        <v>3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t="s" s="11">
        <v>4</v>
      </c>
      <c r="B3" t="s" s="12">
        <v>5</v>
      </c>
      <c r="C3" t="s" s="13">
        <v>6</v>
      </c>
      <c r="D3" t="s" s="14">
        <v>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5.75" customHeight="1">
      <c r="A4" t="s" s="11">
        <v>8</v>
      </c>
      <c r="B4" t="s" s="12">
        <v>9</v>
      </c>
      <c r="C4" t="s" s="13">
        <v>10</v>
      </c>
      <c r="D4" t="s" s="14">
        <v>11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t="s" s="11">
        <v>12</v>
      </c>
      <c r="B5" s="16"/>
      <c r="C5" t="s" s="13">
        <v>6</v>
      </c>
      <c r="D5" t="s" s="14">
        <v>13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5.75" customHeight="1">
      <c r="A6" t="s" s="11">
        <v>14</v>
      </c>
      <c r="B6" s="16"/>
      <c r="C6" t="s" s="13">
        <v>15</v>
      </c>
      <c r="D6" t="s" s="14">
        <v>16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5.75" customHeight="1">
      <c r="A7" t="s" s="11">
        <v>17</v>
      </c>
      <c r="B7" s="16"/>
      <c r="C7" t="s" s="17">
        <v>15</v>
      </c>
      <c r="D7" t="s" s="18">
        <v>18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20"/>
      <c r="B8" s="21"/>
      <c r="C8" s="22"/>
      <c r="D8" s="23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5"/>
    </row>
    <row r="9" ht="15.75" customHeight="1">
      <c r="A9" t="s" s="6">
        <v>19</v>
      </c>
      <c r="B9" t="s" s="7">
        <v>1</v>
      </c>
      <c r="C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t="s" s="11">
        <v>20</v>
      </c>
      <c r="B10" t="s" s="27">
        <v>21</v>
      </c>
      <c r="C10" t="s" s="13">
        <v>22</v>
      </c>
      <c r="D10" t="s" s="14">
        <v>23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75" customHeight="1">
      <c r="A11" t="s" s="11">
        <v>24</v>
      </c>
      <c r="B11" t="s" s="27">
        <v>25</v>
      </c>
      <c r="C11" t="s" s="13">
        <v>26</v>
      </c>
      <c r="D11" t="s" s="14">
        <v>27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75" customHeight="1">
      <c r="A12" t="s" s="11">
        <v>28</v>
      </c>
      <c r="B12" t="s" s="27">
        <v>29</v>
      </c>
      <c r="C12" t="s" s="17">
        <v>30</v>
      </c>
      <c r="D12" t="s" s="18">
        <v>31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28"/>
      <c r="B13" s="29"/>
      <c r="C13" s="22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5"/>
    </row>
    <row r="14" ht="15.75" customHeight="1">
      <c r="A14" s="10"/>
      <c r="B14" s="10"/>
      <c r="C14" s="3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6.75" customHeight="1">
      <c r="A15" t="s" s="31">
        <v>32</v>
      </c>
      <c r="B15" s="32"/>
      <c r="C15" s="33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t="s" s="6">
        <v>33</v>
      </c>
      <c r="B16" t="s" s="7">
        <v>1</v>
      </c>
      <c r="C16" s="3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t="s" s="11">
        <v>34</v>
      </c>
      <c r="B17" t="s" s="35">
        <v>35</v>
      </c>
      <c r="C17" t="s" s="13">
        <v>36</v>
      </c>
      <c r="D17" t="s" s="14">
        <v>37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t="s" s="11">
        <v>38</v>
      </c>
      <c r="B18" t="s" s="27">
        <v>39</v>
      </c>
      <c r="C18" t="s" s="13">
        <v>40</v>
      </c>
      <c r="D18" t="s" s="36">
        <v>41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t="s" s="11">
        <v>42</v>
      </c>
      <c r="B19" t="s" s="27">
        <v>35</v>
      </c>
      <c r="C19" t="s" s="13">
        <v>40</v>
      </c>
      <c r="D19" t="s" s="36">
        <v>43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t="s" s="11">
        <v>44</v>
      </c>
      <c r="B20" t="s" s="27">
        <v>39</v>
      </c>
      <c r="C20" t="s" s="17">
        <v>40</v>
      </c>
      <c r="D20" t="s" s="37">
        <v>45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28"/>
      <c r="B21" s="29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5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32"/>
      <c r="B23" s="3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t="s" s="38">
        <v>46</v>
      </c>
      <c r="B24" s="39"/>
      <c r="C24" s="40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t="s" s="41">
        <v>47</v>
      </c>
      <c r="B25" s="42"/>
      <c r="C25" s="40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t="s" s="43">
        <v>48</v>
      </c>
      <c r="B26" s="42"/>
      <c r="C26" s="40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</sheetData>
  <mergeCells count="4">
    <mergeCell ref="A15:B15"/>
    <mergeCell ref="A24:B24"/>
    <mergeCell ref="A25:B25"/>
    <mergeCell ref="A26:B26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Z42"/>
  <sheetViews>
    <sheetView workbookViewId="0" showGridLines="0" defaultGridColor="1"/>
  </sheetViews>
  <sheetFormatPr defaultColWidth="11.1667" defaultRowHeight="15" customHeight="1" outlineLevelRow="0" outlineLevelCol="0"/>
  <cols>
    <col min="1" max="1" width="19.1719" style="44" customWidth="1"/>
    <col min="2" max="7" width="30.8516" style="44" customWidth="1"/>
    <col min="8" max="26" width="10.5" style="44" customWidth="1"/>
    <col min="27" max="16384" width="11.1719" style="44" customWidth="1"/>
  </cols>
  <sheetData>
    <row r="1" ht="15" customHeight="1">
      <c r="A1" s="2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" customHeight="1">
      <c r="A2" t="s" s="45">
        <v>49</v>
      </c>
      <c r="B2" t="s" s="45">
        <v>1</v>
      </c>
      <c r="C2" t="s" s="8">
        <v>2</v>
      </c>
      <c r="D2" t="s" s="9">
        <v>3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" customHeight="1">
      <c r="A3" t="s" s="11">
        <v>50</v>
      </c>
      <c r="B3" t="s" s="46">
        <v>51</v>
      </c>
      <c r="C3" t="s" s="47">
        <v>52</v>
      </c>
      <c r="D3" t="s" s="14">
        <v>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5.75" customHeight="1">
      <c r="A4" t="s" s="11">
        <v>54</v>
      </c>
      <c r="B4" t="s" s="48">
        <v>55</v>
      </c>
      <c r="C4" t="s" s="47">
        <v>56</v>
      </c>
      <c r="D4" t="s" s="14">
        <v>57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t="s" s="11">
        <v>58</v>
      </c>
      <c r="B5" t="s" s="48">
        <v>59</v>
      </c>
      <c r="C5" t="s" s="47">
        <v>60</v>
      </c>
      <c r="D5" t="s" s="14">
        <v>61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5.75" customHeight="1">
      <c r="A6" t="s" s="11">
        <v>49</v>
      </c>
      <c r="B6" s="49">
        <v>7.625</v>
      </c>
      <c r="C6" t="s" s="47">
        <v>62</v>
      </c>
      <c r="D6" t="s" s="14">
        <v>63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42.75" customHeight="1">
      <c r="A7" t="s" s="50">
        <v>64</v>
      </c>
      <c r="B7" t="s" s="51">
        <v>65</v>
      </c>
      <c r="C7" t="s" s="52">
        <v>52</v>
      </c>
      <c r="D7" t="s" s="18">
        <v>66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" customHeight="1">
      <c r="A8" s="53"/>
      <c r="B8" s="54"/>
      <c r="C8" s="55"/>
      <c r="D8" s="23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5"/>
    </row>
    <row r="9" ht="16.5" customHeight="1">
      <c r="A9" t="s" s="45">
        <v>67</v>
      </c>
      <c r="B9" t="s" s="7">
        <v>1</v>
      </c>
      <c r="C9" t="s" s="8">
        <v>2</v>
      </c>
      <c r="D9" t="s" s="9">
        <v>3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t="s" s="11">
        <v>50</v>
      </c>
      <c r="B10" t="s" s="48">
        <v>68</v>
      </c>
      <c r="C10" t="s" s="47">
        <v>52</v>
      </c>
      <c r="D10" t="s" s="14">
        <v>53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75" customHeight="1">
      <c r="A11" t="s" s="11">
        <v>54</v>
      </c>
      <c r="B11" t="s" s="48">
        <v>55</v>
      </c>
      <c r="C11" t="s" s="47">
        <v>56</v>
      </c>
      <c r="D11" t="s" s="14">
        <v>57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75" customHeight="1">
      <c r="A12" t="s" s="11">
        <v>58</v>
      </c>
      <c r="B12" t="s" s="48">
        <v>69</v>
      </c>
      <c r="C12" t="s" s="47">
        <v>60</v>
      </c>
      <c r="D12" t="s" s="14">
        <v>61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42.75" customHeight="1">
      <c r="A13" t="s" s="50">
        <v>64</v>
      </c>
      <c r="B13" s="56"/>
      <c r="C13" t="s" s="47">
        <v>52</v>
      </c>
      <c r="D13" t="s" s="14">
        <v>66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57"/>
      <c r="B14" s="57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64.5" customHeight="1">
      <c r="A15" t="s" s="58">
        <v>70</v>
      </c>
      <c r="B15" s="32"/>
      <c r="C15" s="32"/>
      <c r="D15" s="32"/>
      <c r="E15" s="32"/>
      <c r="F15" s="32"/>
      <c r="G15" s="32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59"/>
      <c r="B16" t="s" s="60">
        <v>71</v>
      </c>
      <c r="C16" s="61"/>
      <c r="D16" s="39"/>
      <c r="E16" t="s" s="62">
        <v>72</v>
      </c>
      <c r="F16" s="61"/>
      <c r="G16" s="39"/>
      <c r="H16" s="40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t="s" s="63">
        <v>73</v>
      </c>
      <c r="B17" t="s" s="64">
        <v>74</v>
      </c>
      <c r="C17" t="s" s="64">
        <v>75</v>
      </c>
      <c r="D17" t="s" s="64">
        <v>76</v>
      </c>
      <c r="E17" t="s" s="64">
        <v>74</v>
      </c>
      <c r="F17" t="s" s="64">
        <v>75</v>
      </c>
      <c r="G17" t="s" s="64">
        <v>76</v>
      </c>
      <c r="H17" s="40"/>
      <c r="I17" s="15"/>
      <c r="J17" s="15"/>
      <c r="K17" s="15"/>
      <c r="L17" s="6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t="s" s="66">
        <v>77</v>
      </c>
      <c r="B18" s="67">
        <v>0.11</v>
      </c>
      <c r="C18" s="67"/>
      <c r="D18" s="67"/>
      <c r="E18" s="67"/>
      <c r="F18" s="67"/>
      <c r="G18" s="67"/>
      <c r="H18" s="40"/>
      <c r="I18" s="15"/>
      <c r="J18" s="15"/>
      <c r="K18" s="15"/>
      <c r="L18" s="68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t="s" s="66">
        <v>78</v>
      </c>
      <c r="B19" s="67">
        <v>9</v>
      </c>
      <c r="C19" s="67"/>
      <c r="D19" s="67"/>
      <c r="E19" s="67"/>
      <c r="F19" s="67"/>
      <c r="G19" s="67"/>
      <c r="H19" s="40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t="s" s="66">
        <v>79</v>
      </c>
      <c r="B20" s="67">
        <v>1.1</v>
      </c>
      <c r="C20" s="67"/>
      <c r="D20" s="67"/>
      <c r="E20" s="67"/>
      <c r="F20" s="67"/>
      <c r="G20" s="67"/>
      <c r="H20" s="40"/>
      <c r="I20" s="15"/>
      <c r="J20" s="15"/>
      <c r="K20" s="15"/>
      <c r="L20" s="68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t="s" s="66">
        <v>80</v>
      </c>
      <c r="B21" s="67">
        <v>0.4</v>
      </c>
      <c r="C21" s="67"/>
      <c r="D21" s="67"/>
      <c r="E21" s="67"/>
      <c r="F21" s="67"/>
      <c r="G21" s="67"/>
      <c r="H21" s="40"/>
      <c r="I21" s="15"/>
      <c r="J21" s="15"/>
      <c r="K21" s="15"/>
      <c r="L21" s="68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t="s" s="66">
        <v>81</v>
      </c>
      <c r="B22" s="67"/>
      <c r="C22" s="67">
        <v>0.15</v>
      </c>
      <c r="D22" s="67">
        <v>0.25</v>
      </c>
      <c r="E22" s="67"/>
      <c r="F22" s="67"/>
      <c r="G22" s="67"/>
      <c r="H22" s="40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t="s" s="66">
        <v>82</v>
      </c>
      <c r="B23" s="67">
        <v>0.12</v>
      </c>
      <c r="C23" s="67"/>
      <c r="D23" s="67"/>
      <c r="E23" s="67"/>
      <c r="F23" s="67"/>
      <c r="G23" s="67"/>
      <c r="H23" s="40"/>
      <c r="I23" s="15"/>
      <c r="J23" s="15"/>
      <c r="K23" s="15"/>
      <c r="L23" s="68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t="s" s="66">
        <v>83</v>
      </c>
      <c r="B24" s="67">
        <v>0.03</v>
      </c>
      <c r="C24" s="67"/>
      <c r="D24" s="67"/>
      <c r="E24" s="67"/>
      <c r="F24" s="67"/>
      <c r="G24" s="67"/>
      <c r="H24" s="40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t="s" s="66">
        <v>84</v>
      </c>
      <c r="B25" s="67"/>
      <c r="C25" s="67">
        <v>0</v>
      </c>
      <c r="D25" s="67">
        <v>0.005</v>
      </c>
      <c r="E25" s="67"/>
      <c r="F25" s="67"/>
      <c r="G25" s="67"/>
      <c r="H25" s="40"/>
      <c r="I25" s="15"/>
      <c r="J25" s="15"/>
      <c r="K25" s="15"/>
      <c r="L25" s="69"/>
      <c r="M25" s="15"/>
      <c r="N25" s="15"/>
      <c r="O25" s="70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t="s" s="66">
        <v>85</v>
      </c>
      <c r="B26" s="67"/>
      <c r="C26" s="67">
        <v>0</v>
      </c>
      <c r="D26" s="67">
        <v>0.005</v>
      </c>
      <c r="E26" s="67"/>
      <c r="F26" s="67"/>
      <c r="G26" s="67"/>
      <c r="H26" s="40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t="s" s="66">
        <v>86</v>
      </c>
      <c r="B27" s="67"/>
      <c r="C27" s="67">
        <v>0</v>
      </c>
      <c r="D27" s="67">
        <v>0.002</v>
      </c>
      <c r="E27" s="67"/>
      <c r="F27" s="67"/>
      <c r="G27" s="67"/>
      <c r="H27" s="40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t="s" s="66">
        <v>87</v>
      </c>
      <c r="B28" s="67"/>
      <c r="C28" s="67">
        <v>0</v>
      </c>
      <c r="D28" s="67">
        <v>0.01</v>
      </c>
      <c r="E28" s="67"/>
      <c r="F28" s="67"/>
      <c r="G28" s="67"/>
      <c r="H28" s="40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t="s" s="66">
        <v>88</v>
      </c>
      <c r="B29" t="s" s="12">
        <v>89</v>
      </c>
      <c r="C29" s="67"/>
      <c r="D29" s="67"/>
      <c r="E29" s="67"/>
      <c r="F29" s="67"/>
      <c r="G29" s="67"/>
      <c r="H29" s="40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t="s" s="66">
        <v>90</v>
      </c>
      <c r="B30" s="67"/>
      <c r="C30" s="67">
        <v>0</v>
      </c>
      <c r="D30" s="67">
        <v>0.005</v>
      </c>
      <c r="E30" s="67"/>
      <c r="F30" s="67"/>
      <c r="G30" s="67"/>
      <c r="H30" s="40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t="s" s="66">
        <v>91</v>
      </c>
      <c r="B31" s="67"/>
      <c r="C31" s="67">
        <v>0</v>
      </c>
      <c r="D31" s="67">
        <v>0.005</v>
      </c>
      <c r="E31" s="67"/>
      <c r="F31" s="67"/>
      <c r="G31" s="67"/>
      <c r="H31" s="40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t="s" s="66">
        <v>92</v>
      </c>
      <c r="B32" s="67"/>
      <c r="C32" s="67">
        <v>0</v>
      </c>
      <c r="D32" s="67">
        <v>0.01</v>
      </c>
      <c r="E32" s="67"/>
      <c r="F32" s="67"/>
      <c r="G32" s="67"/>
      <c r="H32" s="40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t="s" s="66">
        <v>93</v>
      </c>
      <c r="B33" s="67"/>
      <c r="C33" s="67">
        <v>0</v>
      </c>
      <c r="D33" s="67">
        <v>0.01</v>
      </c>
      <c r="E33" s="67"/>
      <c r="F33" s="67"/>
      <c r="G33" s="67"/>
      <c r="H33" s="40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t="s" s="66">
        <v>94</v>
      </c>
      <c r="B34" s="67"/>
      <c r="C34" s="67">
        <v>0</v>
      </c>
      <c r="D34" s="67">
        <v>0.01</v>
      </c>
      <c r="E34" s="67"/>
      <c r="F34" s="67"/>
      <c r="G34" s="67"/>
      <c r="H34" s="40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t="s" s="66">
        <v>95</v>
      </c>
      <c r="B35" s="67"/>
      <c r="C35" s="67">
        <v>0</v>
      </c>
      <c r="D35" s="67">
        <v>0.02</v>
      </c>
      <c r="E35" s="67"/>
      <c r="F35" s="67"/>
      <c r="G35" s="67"/>
      <c r="H35" s="40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t="s" s="66">
        <v>96</v>
      </c>
      <c r="B36" s="67"/>
      <c r="C36" s="67">
        <v>0</v>
      </c>
      <c r="D36" s="67">
        <v>0.05</v>
      </c>
      <c r="E36" s="67"/>
      <c r="F36" s="67"/>
      <c r="G36" s="67"/>
      <c r="H36" s="40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t="s" s="66">
        <v>97</v>
      </c>
      <c r="B37" s="67"/>
      <c r="C37" s="67">
        <v>0</v>
      </c>
      <c r="D37" s="67">
        <v>0.01</v>
      </c>
      <c r="E37" s="67"/>
      <c r="F37" s="67"/>
      <c r="G37" s="67"/>
      <c r="H37" s="40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t="s" s="66">
        <v>98</v>
      </c>
      <c r="B38" s="67"/>
      <c r="C38" s="67">
        <v>0</v>
      </c>
      <c r="D38" s="67">
        <f t="shared" si="0" ref="D38:D41">0.05/4</f>
        <v>0.0125</v>
      </c>
      <c r="E38" s="67"/>
      <c r="F38" s="67"/>
      <c r="G38" s="67"/>
      <c r="H38" s="40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t="s" s="66">
        <v>99</v>
      </c>
      <c r="B39" s="67"/>
      <c r="C39" s="67">
        <v>0</v>
      </c>
      <c r="D39" s="67">
        <f t="shared" si="0"/>
        <v>0.0125</v>
      </c>
      <c r="E39" s="67"/>
      <c r="F39" s="67"/>
      <c r="G39" s="67"/>
      <c r="H39" s="40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t="s" s="66">
        <v>100</v>
      </c>
      <c r="B40" s="67"/>
      <c r="C40" s="67">
        <v>0</v>
      </c>
      <c r="D40" s="67">
        <f t="shared" si="0"/>
        <v>0.0125</v>
      </c>
      <c r="E40" s="67"/>
      <c r="F40" s="67"/>
      <c r="G40" s="67"/>
      <c r="H40" s="40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t="s" s="66">
        <v>101</v>
      </c>
      <c r="B41" s="67"/>
      <c r="C41" s="67">
        <v>0</v>
      </c>
      <c r="D41" s="67">
        <f t="shared" si="0"/>
        <v>0.0125</v>
      </c>
      <c r="E41" s="67"/>
      <c r="F41" s="67"/>
      <c r="G41" s="67"/>
      <c r="H41" s="71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72"/>
      <c r="B42" s="73"/>
      <c r="C42" s="73"/>
      <c r="D42" s="73"/>
      <c r="E42" s="73"/>
      <c r="F42" s="73"/>
      <c r="G42" s="73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5"/>
    </row>
  </sheetData>
  <mergeCells count="3">
    <mergeCell ref="A15:G15"/>
    <mergeCell ref="B16:D16"/>
    <mergeCell ref="E16:G16"/>
  </mergeCells>
  <hyperlinks>
    <hyperlink ref="B3" r:id="rId1" location="" tooltip="" display="https://tinyurl.com/4uchnhx9"/>
  </hyperlink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Z132"/>
  <sheetViews>
    <sheetView workbookViewId="0" showGridLines="0" defaultGridColor="1"/>
  </sheetViews>
  <sheetFormatPr defaultColWidth="11.1667" defaultRowHeight="15" customHeight="1" outlineLevelRow="0" outlineLevelCol="0"/>
  <cols>
    <col min="1" max="1" width="13.5" style="76" customWidth="1"/>
    <col min="2" max="2" width="18.1719" style="76" customWidth="1"/>
    <col min="3" max="3" width="20" style="76" customWidth="1"/>
    <col min="4" max="5" width="23" style="76" customWidth="1"/>
    <col min="6" max="6" width="15.8516" style="76" customWidth="1"/>
    <col min="7" max="26" width="10.6719" style="76" customWidth="1"/>
    <col min="27" max="16384" width="11.1719" style="76" customWidth="1"/>
  </cols>
  <sheetData>
    <row r="1" ht="15.75" customHeight="1">
      <c r="A1" s="2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.75" customHeight="1">
      <c r="A2" t="s" s="11">
        <v>102</v>
      </c>
      <c r="B2" t="s" s="77">
        <v>103</v>
      </c>
      <c r="C2" t="s" s="78">
        <v>104</v>
      </c>
      <c r="D2" t="s" s="79">
        <v>105</v>
      </c>
      <c r="E2" t="s" s="79">
        <v>105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t="s" s="80">
        <v>106</v>
      </c>
      <c r="T2" s="10"/>
      <c r="U2" s="10"/>
      <c r="V2" s="10"/>
      <c r="W2" s="10"/>
      <c r="X2" s="10"/>
      <c r="Y2" s="10"/>
      <c r="Z2" s="10"/>
    </row>
    <row r="3" ht="15.75" customHeight="1">
      <c r="A3" t="s" s="11">
        <v>107</v>
      </c>
      <c r="B3" t="s" s="81">
        <v>108</v>
      </c>
      <c r="C3" t="s" s="13">
        <v>109</v>
      </c>
      <c r="D3" t="s" s="14">
        <v>110</v>
      </c>
      <c r="E3" t="s" s="14">
        <v>110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t="s" s="82">
        <v>103</v>
      </c>
      <c r="T3" s="15"/>
      <c r="U3" s="15"/>
      <c r="V3" s="15"/>
      <c r="W3" s="15"/>
      <c r="X3" s="15"/>
      <c r="Y3" s="15"/>
      <c r="Z3" s="15"/>
    </row>
    <row r="4" ht="15.75" customHeight="1">
      <c r="A4" t="s" s="11">
        <v>50</v>
      </c>
      <c r="B4" t="s" s="46">
        <v>51</v>
      </c>
      <c r="C4" t="s" s="13">
        <v>52</v>
      </c>
      <c r="D4" t="s" s="14">
        <v>53</v>
      </c>
      <c r="E4" t="s" s="14">
        <v>53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t="s" s="82">
        <v>111</v>
      </c>
      <c r="T4" s="15"/>
      <c r="U4" s="15"/>
      <c r="V4" s="15"/>
      <c r="W4" s="15"/>
      <c r="X4" s="15"/>
      <c r="Y4" s="15"/>
      <c r="Z4" s="15"/>
    </row>
    <row r="5" ht="15.75" customHeight="1">
      <c r="A5" t="s" s="11">
        <v>54</v>
      </c>
      <c r="B5" t="s" s="81">
        <v>55</v>
      </c>
      <c r="C5" t="s" s="47">
        <v>56</v>
      </c>
      <c r="D5" t="s" s="14">
        <v>57</v>
      </c>
      <c r="E5" t="s" s="14">
        <v>57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t="s" s="82">
        <v>112</v>
      </c>
      <c r="T5" s="15"/>
      <c r="U5" s="15"/>
      <c r="V5" s="15"/>
      <c r="W5" s="15"/>
      <c r="X5" s="15"/>
      <c r="Y5" s="15"/>
      <c r="Z5" s="15"/>
    </row>
    <row r="6" ht="15.75" customHeight="1">
      <c r="A6" t="s" s="11">
        <v>58</v>
      </c>
      <c r="B6" t="s" s="81">
        <v>59</v>
      </c>
      <c r="C6" t="s" s="47">
        <v>60</v>
      </c>
      <c r="D6" t="s" s="14">
        <v>113</v>
      </c>
      <c r="E6" t="s" s="14">
        <v>113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t="s" s="82">
        <v>114</v>
      </c>
      <c r="T6" s="15"/>
      <c r="U6" s="15"/>
      <c r="V6" s="15"/>
      <c r="W6" s="15"/>
      <c r="X6" s="15"/>
      <c r="Y6" s="15"/>
      <c r="Z6" s="15"/>
    </row>
    <row r="7" ht="15.75" customHeight="1">
      <c r="A7" t="s" s="11">
        <v>64</v>
      </c>
      <c r="B7" s="83"/>
      <c r="C7" t="s" s="47">
        <v>52</v>
      </c>
      <c r="D7" t="s" s="14">
        <v>66</v>
      </c>
      <c r="E7" t="s" s="14">
        <v>66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t="s" s="82">
        <v>115</v>
      </c>
      <c r="T7" s="15"/>
      <c r="U7" s="15"/>
      <c r="V7" s="15"/>
      <c r="W7" s="15"/>
      <c r="X7" s="15"/>
      <c r="Y7" s="15"/>
      <c r="Z7" s="15"/>
    </row>
    <row r="8" ht="15.75" customHeight="1">
      <c r="A8" s="84"/>
      <c r="B8" s="84"/>
      <c r="C8" s="32"/>
      <c r="D8" s="32"/>
      <c r="E8" s="32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t="s" s="82">
        <v>116</v>
      </c>
      <c r="T8" s="15"/>
      <c r="U8" s="15"/>
      <c r="V8" s="15"/>
      <c r="W8" s="15"/>
      <c r="X8" s="15"/>
      <c r="Y8" s="15"/>
      <c r="Z8" s="15"/>
    </row>
    <row r="9" ht="15.75" customHeight="1">
      <c r="A9" t="s" s="64">
        <v>1</v>
      </c>
      <c r="B9" t="s" s="64">
        <v>117</v>
      </c>
      <c r="C9" t="s" s="64">
        <v>118</v>
      </c>
      <c r="D9" t="s" s="64">
        <v>119</v>
      </c>
      <c r="E9" t="s" s="63">
        <v>120</v>
      </c>
      <c r="F9" s="8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t="s" s="82">
        <v>121</v>
      </c>
      <c r="T9" s="15"/>
      <c r="U9" s="15"/>
      <c r="V9" s="15"/>
      <c r="W9" s="15"/>
      <c r="X9" s="15"/>
      <c r="Y9" s="15"/>
      <c r="Z9" s="15"/>
    </row>
    <row r="10" ht="15.75" customHeight="1">
      <c r="A10" s="86">
        <v>7.744</v>
      </c>
      <c r="B10" s="86"/>
      <c r="C10" s="87">
        <f t="shared" si="0" ref="C10:C35">20+273.15</f>
        <v>293.15</v>
      </c>
      <c r="D10" s="87">
        <v>0</v>
      </c>
      <c r="E10" s="88">
        <v>1100000</v>
      </c>
      <c r="F10" s="40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t="s" s="82">
        <v>122</v>
      </c>
      <c r="T10" s="15"/>
      <c r="U10" s="15"/>
      <c r="V10" s="15"/>
      <c r="W10" s="15"/>
      <c r="X10" s="15"/>
      <c r="Y10" s="15"/>
      <c r="Z10" s="15"/>
    </row>
    <row r="11" ht="15.75" customHeight="1">
      <c r="A11" s="86">
        <v>7.75</v>
      </c>
      <c r="B11" s="86"/>
      <c r="C11" s="87">
        <f t="shared" si="1" ref="C11:C36">50+273.15</f>
        <v>323.15</v>
      </c>
      <c r="D11" s="87">
        <v>0</v>
      </c>
      <c r="E11" s="88">
        <v>1200000</v>
      </c>
      <c r="F11" s="40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t="s" s="82">
        <v>123</v>
      </c>
      <c r="T11" s="15"/>
      <c r="U11" s="15"/>
      <c r="V11" s="15"/>
      <c r="W11" s="15"/>
      <c r="X11" s="15"/>
      <c r="Y11" s="15"/>
      <c r="Z11" s="15"/>
    </row>
    <row r="12" ht="15.75" customHeight="1">
      <c r="A12" s="86">
        <v>7.74</v>
      </c>
      <c r="B12" s="86"/>
      <c r="C12" s="87">
        <f t="shared" si="2" ref="C12:C37">100+273.15</f>
        <v>373.15</v>
      </c>
      <c r="D12" s="87">
        <v>0</v>
      </c>
      <c r="E12" s="88">
        <v>1200000</v>
      </c>
      <c r="F12" s="40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t="s" s="82">
        <v>124</v>
      </c>
      <c r="T12" s="15"/>
      <c r="U12" s="15"/>
      <c r="V12" s="15"/>
      <c r="W12" s="15"/>
      <c r="X12" s="15"/>
      <c r="Y12" s="15"/>
      <c r="Z12" s="15"/>
    </row>
    <row r="13" ht="15.75" customHeight="1">
      <c r="A13" s="86">
        <v>7.723</v>
      </c>
      <c r="B13" s="86"/>
      <c r="C13" s="87">
        <f t="shared" si="3" ref="C13:C38">200+273.15</f>
        <v>473.15</v>
      </c>
      <c r="D13" s="87">
        <v>0</v>
      </c>
      <c r="E13" s="88">
        <v>1300000</v>
      </c>
      <c r="F13" s="40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t="s" s="82">
        <v>125</v>
      </c>
      <c r="T13" s="15"/>
      <c r="U13" s="15"/>
      <c r="V13" s="15"/>
      <c r="W13" s="15"/>
      <c r="X13" s="15"/>
      <c r="Y13" s="15"/>
      <c r="Z13" s="15"/>
    </row>
    <row r="14" ht="15.75" customHeight="1">
      <c r="A14" s="86">
        <v>7.691</v>
      </c>
      <c r="B14" s="86"/>
      <c r="C14" s="87">
        <v>573.15</v>
      </c>
      <c r="D14" s="87">
        <v>0</v>
      </c>
      <c r="E14" s="88">
        <v>1400000</v>
      </c>
      <c r="F14" s="40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t="s" s="82">
        <v>126</v>
      </c>
      <c r="T14" s="15"/>
      <c r="U14" s="15"/>
      <c r="V14" s="15"/>
      <c r="W14" s="15"/>
      <c r="X14" s="15"/>
      <c r="Y14" s="15"/>
      <c r="Z14" s="15"/>
    </row>
    <row r="15" ht="15.75" customHeight="1">
      <c r="A15" s="86">
        <v>7.657</v>
      </c>
      <c r="B15" s="86"/>
      <c r="C15" s="87">
        <v>673.15</v>
      </c>
      <c r="D15" s="87">
        <v>0</v>
      </c>
      <c r="E15" s="88"/>
      <c r="F15" s="40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86">
        <v>7.625</v>
      </c>
      <c r="B16" s="86"/>
      <c r="C16" s="87">
        <v>773.15</v>
      </c>
      <c r="D16" s="87">
        <v>0</v>
      </c>
      <c r="E16" s="88">
        <v>1700000</v>
      </c>
      <c r="F16" s="40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86">
        <v>7.592</v>
      </c>
      <c r="B17" s="86"/>
      <c r="C17" s="87">
        <v>873.15</v>
      </c>
      <c r="D17" s="87">
        <v>0</v>
      </c>
      <c r="E17" t="s" s="77">
        <v>127</v>
      </c>
      <c r="F17" s="40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s="86">
        <v>7.559</v>
      </c>
      <c r="B18" s="86"/>
      <c r="C18" s="87">
        <f>700+273.15</f>
        <v>973.15</v>
      </c>
      <c r="D18" s="87">
        <v>0</v>
      </c>
      <c r="E18" s="88">
        <v>1800000</v>
      </c>
      <c r="F18" s="40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86"/>
      <c r="B19" s="86"/>
      <c r="C19" s="83"/>
      <c r="D19" s="83"/>
      <c r="E19" s="83"/>
      <c r="F19" s="40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86"/>
      <c r="B20" s="86"/>
      <c r="C20" s="83"/>
      <c r="D20" s="83"/>
      <c r="E20" s="83"/>
      <c r="F20" s="40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86"/>
      <c r="B21" s="86"/>
      <c r="C21" s="83"/>
      <c r="D21" s="83"/>
      <c r="E21" s="83"/>
      <c r="F21" s="40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86"/>
      <c r="B22" s="86"/>
      <c r="C22" s="83"/>
      <c r="D22" s="83"/>
      <c r="E22" s="83"/>
      <c r="F22" s="40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86"/>
      <c r="B23" s="86"/>
      <c r="C23" s="83"/>
      <c r="D23" s="83"/>
      <c r="E23" s="83"/>
      <c r="F23" s="40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86"/>
      <c r="B24" s="86"/>
      <c r="C24" s="83"/>
      <c r="D24" s="83"/>
      <c r="E24" s="83"/>
      <c r="F24" s="40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86"/>
      <c r="B25" s="86"/>
      <c r="C25" s="83"/>
      <c r="D25" s="83"/>
      <c r="E25" s="83"/>
      <c r="F25" s="71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89"/>
      <c r="B26" s="21"/>
      <c r="C26" s="29"/>
      <c r="D26" s="29"/>
      <c r="E26" s="29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5"/>
    </row>
    <row r="27" ht="15.75" customHeight="1">
      <c r="A27" t="s" s="11">
        <v>102</v>
      </c>
      <c r="B27" t="s" s="77">
        <v>122</v>
      </c>
      <c r="C27" t="s" s="78">
        <v>104</v>
      </c>
      <c r="D27" t="s" s="79">
        <v>105</v>
      </c>
      <c r="E27" t="s" s="79">
        <v>105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t="s" s="11">
        <v>107</v>
      </c>
      <c r="B28" t="s" s="81">
        <v>128</v>
      </c>
      <c r="C28" t="s" s="13">
        <v>109</v>
      </c>
      <c r="D28" t="s" s="14">
        <v>110</v>
      </c>
      <c r="E28" t="s" s="14">
        <v>110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t="s" s="11">
        <v>50</v>
      </c>
      <c r="B29" t="s" s="90">
        <v>129</v>
      </c>
      <c r="C29" t="s" s="13">
        <v>52</v>
      </c>
      <c r="D29" t="s" s="14">
        <v>53</v>
      </c>
      <c r="E29" t="s" s="14">
        <v>53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t="s" s="11">
        <v>54</v>
      </c>
      <c r="B30" t="s" s="81">
        <v>130</v>
      </c>
      <c r="C30" t="s" s="47">
        <v>56</v>
      </c>
      <c r="D30" t="s" s="14">
        <v>57</v>
      </c>
      <c r="E30" t="s" s="14">
        <v>57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t="s" s="11">
        <v>58</v>
      </c>
      <c r="B31" t="s" s="81">
        <v>131</v>
      </c>
      <c r="C31" t="s" s="47">
        <v>60</v>
      </c>
      <c r="D31" t="s" s="14">
        <v>113</v>
      </c>
      <c r="E31" t="s" s="14">
        <v>113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t="s" s="11">
        <v>64</v>
      </c>
      <c r="B32" s="83"/>
      <c r="C32" t="s" s="47">
        <v>52</v>
      </c>
      <c r="D32" t="s" s="14">
        <v>66</v>
      </c>
      <c r="E32" t="s" s="14">
        <v>66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84"/>
      <c r="B33" s="84"/>
      <c r="C33" s="32"/>
      <c r="D33" s="32"/>
      <c r="E33" s="32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t="s" s="64">
        <v>1</v>
      </c>
      <c r="B34" t="s" s="64">
        <v>117</v>
      </c>
      <c r="C34" t="s" s="64">
        <v>118</v>
      </c>
      <c r="D34" t="s" s="64">
        <v>119</v>
      </c>
      <c r="E34" s="91"/>
      <c r="F34" s="8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86">
        <v>28.08</v>
      </c>
      <c r="B35" s="86"/>
      <c r="C35" s="87">
        <f t="shared" si="0"/>
        <v>293.15</v>
      </c>
      <c r="D35" s="87">
        <v>0</v>
      </c>
      <c r="E35" s="83"/>
      <c r="F35" s="40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86">
        <v>28.86</v>
      </c>
      <c r="B36" s="86"/>
      <c r="C36" s="87">
        <f t="shared" si="1"/>
        <v>323.15</v>
      </c>
      <c r="D36" s="87">
        <v>0</v>
      </c>
      <c r="E36" s="83"/>
      <c r="F36" s="40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86"/>
      <c r="B37" s="86"/>
      <c r="C37" s="87">
        <f t="shared" si="2"/>
        <v>373.15</v>
      </c>
      <c r="D37" s="87">
        <v>0</v>
      </c>
      <c r="E37" s="83"/>
      <c r="F37" s="40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86">
        <v>30.38</v>
      </c>
      <c r="B38" s="86"/>
      <c r="C38" s="87">
        <f t="shared" si="3"/>
        <v>473.15</v>
      </c>
      <c r="D38" s="87">
        <v>2</v>
      </c>
      <c r="E38" s="83"/>
      <c r="F38" s="40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86">
        <v>30.01</v>
      </c>
      <c r="B39" s="86"/>
      <c r="C39" s="83"/>
      <c r="D39" s="87">
        <v>1</v>
      </c>
      <c r="E39" s="83"/>
      <c r="F39" s="40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86">
        <v>29.47</v>
      </c>
      <c r="B40" s="86"/>
      <c r="C40" s="87">
        <v>673.15</v>
      </c>
      <c r="D40" s="87">
        <v>0</v>
      </c>
      <c r="E40" s="83"/>
      <c r="F40" s="40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86">
        <v>29.58</v>
      </c>
      <c r="B41" s="86"/>
      <c r="C41" t="s" s="81">
        <v>132</v>
      </c>
      <c r="D41" s="87">
        <v>0</v>
      </c>
      <c r="E41" s="83"/>
      <c r="F41" s="40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86">
        <v>31.12</v>
      </c>
      <c r="B42" s="86"/>
      <c r="C42" s="87">
        <v>873.15</v>
      </c>
      <c r="D42" s="87">
        <v>0</v>
      </c>
      <c r="E42" s="83"/>
      <c r="F42" s="40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86"/>
      <c r="B43" s="86"/>
      <c r="C43" s="83"/>
      <c r="D43" s="83"/>
      <c r="E43" s="83"/>
      <c r="F43" s="40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86"/>
      <c r="B44" s="86"/>
      <c r="C44" s="83"/>
      <c r="D44" s="83"/>
      <c r="E44" s="83"/>
      <c r="F44" s="40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86"/>
      <c r="B45" s="86"/>
      <c r="C45" s="83"/>
      <c r="D45" s="83"/>
      <c r="E45" s="83"/>
      <c r="F45" s="40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86"/>
      <c r="B46" s="86"/>
      <c r="C46" s="83"/>
      <c r="D46" s="83"/>
      <c r="E46" s="83"/>
      <c r="F46" s="40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86"/>
      <c r="B47" s="86"/>
      <c r="C47" s="83"/>
      <c r="D47" s="83"/>
      <c r="E47" s="83"/>
      <c r="F47" s="40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86"/>
      <c r="B48" s="86"/>
      <c r="C48" s="83"/>
      <c r="D48" s="83"/>
      <c r="E48" s="83"/>
      <c r="F48" s="40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86"/>
      <c r="B49" s="86"/>
      <c r="C49" s="83"/>
      <c r="D49" s="83"/>
      <c r="E49" s="83"/>
      <c r="F49" s="40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86"/>
      <c r="B50" s="86"/>
      <c r="C50" s="83"/>
      <c r="D50" s="83"/>
      <c r="E50" s="83"/>
      <c r="F50" s="71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89"/>
      <c r="B51" s="21"/>
      <c r="C51" s="29"/>
      <c r="D51" s="29"/>
      <c r="E51" s="29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5"/>
    </row>
    <row r="52" ht="15.75" customHeight="1">
      <c r="A52" t="s" s="11">
        <v>102</v>
      </c>
      <c r="B52" s="83"/>
      <c r="C52" t="s" s="78">
        <v>104</v>
      </c>
      <c r="D52" t="s" s="79">
        <v>105</v>
      </c>
      <c r="E52" t="s" s="79">
        <v>105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t="s" s="11">
        <v>107</v>
      </c>
      <c r="B53" s="83"/>
      <c r="C53" t="s" s="13">
        <v>109</v>
      </c>
      <c r="D53" t="s" s="14">
        <v>110</v>
      </c>
      <c r="E53" t="s" s="14">
        <v>110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t="s" s="11">
        <v>50</v>
      </c>
      <c r="B54" s="92"/>
      <c r="C54" t="s" s="13">
        <v>52</v>
      </c>
      <c r="D54" t="s" s="14">
        <v>53</v>
      </c>
      <c r="E54" t="s" s="14">
        <v>53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t="s" s="11">
        <v>54</v>
      </c>
      <c r="B55" s="83"/>
      <c r="C55" t="s" s="47">
        <v>56</v>
      </c>
      <c r="D55" t="s" s="14">
        <v>57</v>
      </c>
      <c r="E55" t="s" s="14">
        <v>57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t="s" s="11">
        <v>58</v>
      </c>
      <c r="B56" s="83"/>
      <c r="C56" t="s" s="47">
        <v>60</v>
      </c>
      <c r="D56" t="s" s="14">
        <v>113</v>
      </c>
      <c r="E56" t="s" s="14">
        <v>113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t="s" s="11">
        <v>64</v>
      </c>
      <c r="B57" s="83"/>
      <c r="C57" t="s" s="47">
        <v>52</v>
      </c>
      <c r="D57" t="s" s="14">
        <v>66</v>
      </c>
      <c r="E57" t="s" s="14">
        <v>66</v>
      </c>
      <c r="F57" s="6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84"/>
      <c r="B58" s="84"/>
      <c r="C58" s="32"/>
      <c r="D58" s="32"/>
      <c r="E58" s="32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t="s" s="64">
        <v>1</v>
      </c>
      <c r="B59" t="s" s="64">
        <v>117</v>
      </c>
      <c r="C59" t="s" s="64">
        <v>118</v>
      </c>
      <c r="D59" t="s" s="64">
        <v>119</v>
      </c>
      <c r="E59" t="s" s="64">
        <v>119</v>
      </c>
      <c r="F59" s="40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86"/>
      <c r="B60" s="86"/>
      <c r="C60" s="83"/>
      <c r="D60" s="83"/>
      <c r="E60" s="83"/>
      <c r="F60" s="40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86"/>
      <c r="B61" s="86"/>
      <c r="C61" s="83"/>
      <c r="D61" s="83"/>
      <c r="E61" s="83"/>
      <c r="F61" s="40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86"/>
      <c r="B62" s="86"/>
      <c r="C62" s="83"/>
      <c r="D62" s="83"/>
      <c r="E62" s="83"/>
      <c r="F62" s="40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86"/>
      <c r="B63" s="86"/>
      <c r="C63" s="83"/>
      <c r="D63" s="83"/>
      <c r="E63" s="83"/>
      <c r="F63" s="40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86"/>
      <c r="B64" s="86"/>
      <c r="C64" s="83"/>
      <c r="D64" s="83"/>
      <c r="E64" s="83"/>
      <c r="F64" s="40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86"/>
      <c r="B65" s="86"/>
      <c r="C65" s="83"/>
      <c r="D65" s="83"/>
      <c r="E65" s="83"/>
      <c r="F65" s="40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86"/>
      <c r="B66" s="86"/>
      <c r="C66" s="83"/>
      <c r="D66" s="83"/>
      <c r="E66" s="83"/>
      <c r="F66" s="40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86"/>
      <c r="B67" s="86"/>
      <c r="C67" s="83"/>
      <c r="D67" s="83"/>
      <c r="E67" s="83"/>
      <c r="F67" s="40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86"/>
      <c r="B68" s="86"/>
      <c r="C68" s="83"/>
      <c r="D68" s="83"/>
      <c r="E68" s="83"/>
      <c r="F68" s="40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86"/>
      <c r="B69" s="86"/>
      <c r="C69" s="83"/>
      <c r="D69" s="83"/>
      <c r="E69" s="83"/>
      <c r="F69" s="40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86"/>
      <c r="B70" s="86"/>
      <c r="C70" s="83"/>
      <c r="D70" s="83"/>
      <c r="E70" s="83"/>
      <c r="F70" s="40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86"/>
      <c r="B71" s="86"/>
      <c r="C71" s="83"/>
      <c r="D71" s="83"/>
      <c r="E71" s="83"/>
      <c r="F71" s="40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86"/>
      <c r="B72" s="86"/>
      <c r="C72" s="83"/>
      <c r="D72" s="83"/>
      <c r="E72" s="83"/>
      <c r="F72" s="40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86"/>
      <c r="B73" s="86"/>
      <c r="C73" s="83"/>
      <c r="D73" s="83"/>
      <c r="E73" s="83"/>
      <c r="F73" s="40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86"/>
      <c r="B74" s="86"/>
      <c r="C74" s="83"/>
      <c r="D74" s="83"/>
      <c r="E74" s="83"/>
      <c r="F74" s="40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86"/>
      <c r="B75" s="86"/>
      <c r="C75" s="83"/>
      <c r="D75" s="83"/>
      <c r="E75" s="83"/>
      <c r="F75" s="71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28"/>
      <c r="B76" s="29"/>
      <c r="C76" s="29"/>
      <c r="D76" s="29"/>
      <c r="E76" s="29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5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</sheetData>
  <dataValidations count="1">
    <dataValidation type="list" allowBlank="1" showInputMessage="1" showErrorMessage="1" sqref="B2 B27 B52">
      <formula1>"density,yield strength,tensile strength,Young's modulus,Poisson ratio,fracture toughness,creep,thermal conductivity,specific heat,swelling,hardness,DBTT"</formula1>
    </dataValidation>
  </dataValidations>
  <hyperlinks>
    <hyperlink ref="B4" r:id="rId1" location="" tooltip="" display="https://tinyurl.com/4uchnhx9"/>
  </hyperlink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